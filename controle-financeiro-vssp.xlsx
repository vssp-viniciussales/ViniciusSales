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ancamentos" sheetId="2" state="visible" r:id="rId4"/>
    <sheet name="Categor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<sst xmlns="http://schemas.openxmlformats.org/spreadsheetml/2006/main" count="185" uniqueCount="86">
  <si>
    <t xml:space="preserve">@vssp  |  Controle Financeiro</t>
  </si>
  <si>
    <t xml:space="preserve">Vinicius Padovani 2026  |  Dinheiro sem destino nao e liberdade. E caos com saldo positivo.</t>
  </si>
  <si>
    <t xml:space="preserve">ENTRADAS DO MES</t>
  </si>
  <si>
    <t xml:space="preserve">SAIDAS DO MES</t>
  </si>
  <si>
    <t xml:space="preserve">SALDO DO MES</t>
  </si>
  <si>
    <t xml:space="preserve">RESUMO POR CATEGORIA</t>
  </si>
  <si>
    <t xml:space="preserve">Categoria</t>
  </si>
  <si>
    <t xml:space="preserve">Tipo</t>
  </si>
  <si>
    <t xml:space="preserve">Orcado</t>
  </si>
  <si>
    <t xml:space="preserve">Realizado</t>
  </si>
  <si>
    <t xml:space="preserve">Diferenca</t>
  </si>
  <si>
    <t xml:space="preserve">% Exec.</t>
  </si>
  <si>
    <t xml:space="preserve">Status</t>
  </si>
  <si>
    <t xml:space="preserve">Adicione seus lancamentos na aba 'Lancamentos'. Este dashboard atualiza automaticamente.</t>
  </si>
  <si>
    <t xml:space="preserve">@vssp - Controle Financeiro - Lancamentos</t>
  </si>
  <si>
    <t xml:space="preserve">Registre cada entrada e saida. O Dashboard atualiza automaticamente.</t>
  </si>
  <si>
    <t xml:space="preserve">Data</t>
  </si>
  <si>
    <t xml:space="preserve">Descricao</t>
  </si>
  <si>
    <t xml:space="preserve">Valor (R$)</t>
  </si>
  <si>
    <t xml:space="preserve">Mes/Ano</t>
  </si>
  <si>
    <t xml:space="preserve">Observacao</t>
  </si>
  <si>
    <t xml:space="preserve">01/04/2026</t>
  </si>
  <si>
    <t xml:space="preserve">Atlas Logistica - Repasse mensal</t>
  </si>
  <si>
    <t xml:space="preserve">Servico</t>
  </si>
  <si>
    <t xml:space="preserve">Entrada</t>
  </si>
  <si>
    <t xml:space="preserve">04/2026</t>
  </si>
  <si>
    <t xml:space="preserve">Confirmado</t>
  </si>
  <si>
    <t xml:space="preserve">Aluguel</t>
  </si>
  <si>
    <t xml:space="preserve">Moradia</t>
  </si>
  <si>
    <t xml:space="preserve">Saida</t>
  </si>
  <si>
    <t xml:space="preserve">02/04/2026</t>
  </si>
  <si>
    <t xml:space="preserve">Supermercado</t>
  </si>
  <si>
    <t xml:space="preserve">Alimentacao</t>
  </si>
  <si>
    <t xml:space="preserve">03/04/2026</t>
  </si>
  <si>
    <t xml:space="preserve">Comissao Grupo Villela</t>
  </si>
  <si>
    <t xml:space="preserve">Comissao</t>
  </si>
  <si>
    <t xml:space="preserve">04/04/2026</t>
  </si>
  <si>
    <t xml:space="preserve">Combustivel</t>
  </si>
  <si>
    <t xml:space="preserve">Transporte</t>
  </si>
  <si>
    <t xml:space="preserve">05/04/2026</t>
  </si>
  <si>
    <t xml:space="preserve">Primemobile - Venda</t>
  </si>
  <si>
    <t xml:space="preserve">Venda</t>
  </si>
  <si>
    <t xml:space="preserve">06/04/2026</t>
  </si>
  <si>
    <t xml:space="preserve">Plano de saude</t>
  </si>
  <si>
    <t xml:space="preserve">Saude</t>
  </si>
  <si>
    <t xml:space="preserve">07/04/2026</t>
  </si>
  <si>
    <t xml:space="preserve">Restaurante</t>
  </si>
  <si>
    <t xml:space="preserve">08/04/2026</t>
  </si>
  <si>
    <t xml:space="preserve">Academia</t>
  </si>
  <si>
    <t xml:space="preserve">09/04/2026</t>
  </si>
  <si>
    <t xml:space="preserve">Consultoria @vssp - Sessao 1</t>
  </si>
  <si>
    <t xml:space="preserve">10/04/2026</t>
  </si>
  <si>
    <t xml:space="preserve">Manutencao veiculo Atlas</t>
  </si>
  <si>
    <t xml:space="preserve">Negocios</t>
  </si>
  <si>
    <t xml:space="preserve">11/04/2026</t>
  </si>
  <si>
    <t xml:space="preserve">Consultoria @vssp - Sessao 2</t>
  </si>
  <si>
    <t xml:space="preserve">12/04/2026</t>
  </si>
  <si>
    <t xml:space="preserve">Internet + Telefone</t>
  </si>
  <si>
    <t xml:space="preserve">14/04/2026</t>
  </si>
  <si>
    <t xml:space="preserve">Curso / Livro</t>
  </si>
  <si>
    <t xml:space="preserve">Educacao</t>
  </si>
  <si>
    <t xml:space="preserve">15/04/2026</t>
  </si>
  <si>
    <t xml:space="preserve">Reserva de emergencia</t>
  </si>
  <si>
    <t xml:space="preserve">Investimento</t>
  </si>
  <si>
    <t xml:space="preserve">16/04/2026</t>
  </si>
  <si>
    <t xml:space="preserve">17/04/2026</t>
  </si>
  <si>
    <t xml:space="preserve">18/04/2026</t>
  </si>
  <si>
    <t xml:space="preserve">20/04/2026</t>
  </si>
  <si>
    <t xml:space="preserve">22/04/2026</t>
  </si>
  <si>
    <t xml:space="preserve">Material de escritorio</t>
  </si>
  <si>
    <t xml:space="preserve">Total Entradas:</t>
  </si>
  <si>
    <t xml:space="preserve">Total Saidas:</t>
  </si>
  <si>
    <t xml:space="preserve">Saldo do Mes:</t>
  </si>
  <si>
    <t xml:space="preserve">@vssp - Orcamento por Categoria</t>
  </si>
  <si>
    <t xml:space="preserve">Defina o orcamento mensal e acompanhe o realizado.</t>
  </si>
  <si>
    <t xml:space="preserve">Orcamento (R$)</t>
  </si>
  <si>
    <t xml:space="preserve">Realizado (R$)</t>
  </si>
  <si>
    <t xml:space="preserve">Diferenca (R$)</t>
  </si>
  <si>
    <t xml:space="preserve">Atlas Logistica</t>
  </si>
  <si>
    <t xml:space="preserve">Primemobile</t>
  </si>
  <si>
    <t xml:space="preserve">Consultoria @vssp</t>
  </si>
  <si>
    <t xml:space="preserve">Grupo Villela</t>
  </si>
  <si>
    <t xml:space="preserve">Outros Entradas</t>
  </si>
  <si>
    <t xml:space="preserve">Lazer</t>
  </si>
  <si>
    <t xml:space="preserve">Pessoal</t>
  </si>
  <si>
    <t xml:space="preserve">Outros Saidas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</si>
</sst>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C8A97E"/>
      <name val="Arial"/>
      <family val="0"/>
      <charset val="1"/>
    </font>
    <font>
      <i val="true"/>
      <sz val="9"/>
      <color rgb="FFC2B6AA"/>
      <name val="Arial"/>
      <family val="0"/>
      <charset val="1"/>
    </font>
    <font>
      <b val="true"/>
      <sz val="8"/>
      <color rgb="FFC2B6AA"/>
      <name val="Arial"/>
      <family val="0"/>
      <charset val="1"/>
    </font>
    <font>
      <b val="true"/>
      <sz val="22"/>
      <color rgb="FF2E7D32"/>
      <name val="Arial"/>
      <family val="0"/>
      <charset val="1"/>
    </font>
    <font>
      <b val="true"/>
      <sz val="22"/>
      <color rgb="FFC62828"/>
      <name val="Arial"/>
      <family val="0"/>
      <charset val="1"/>
    </font>
    <font>
      <b val="true"/>
      <sz val="22"/>
      <color rgb="FFC8A97E"/>
      <name val="Arial"/>
      <family val="0"/>
      <charset val="1"/>
    </font>
    <font>
      <b val="true"/>
      <sz val="11"/>
      <color rgb="FFC8A97E"/>
      <name val="Arial"/>
      <family val="0"/>
      <charset val="1"/>
    </font>
    <font>
      <b val="true"/>
      <sz val="9"/>
      <color rgb="FFF2EDD8"/>
      <name val="Arial"/>
      <family val="0"/>
      <charset val="1"/>
    </font>
    <font>
      <sz val="9"/>
      <color rgb="FFF2EDD8"/>
      <name val="Arial"/>
      <family val="0"/>
      <charset val="1"/>
    </font>
    <font>
      <sz val="9"/>
      <color rgb="FFC2B6AA"/>
      <name val="Arial"/>
      <family val="0"/>
      <charset val="1"/>
    </font>
    <font>
      <i val="true"/>
      <sz val="8"/>
      <color rgb="FFC2B6AA"/>
      <name val="Arial"/>
      <family val="0"/>
      <charset val="1"/>
    </font>
    <font>
      <b val="true"/>
      <sz val="14"/>
      <color rgb="FFC8A97E"/>
      <name val="Arial"/>
      <family val="0"/>
      <charset val="1"/>
    </font>
    <font>
      <b val="true"/>
      <sz val="10"/>
      <color rgb="FFF2EDD8"/>
      <name val="Arial"/>
      <family val="0"/>
      <charset val="1"/>
    </font>
    <font>
      <sz val="10"/>
      <color rgb="FFF2EDD8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C2B6AA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C2B6AA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12"/>
      <color rgb="FFC62828"/>
      <name val="Arial"/>
      <family val="0"/>
      <charset val="1"/>
    </font>
    <font>
      <b val="true"/>
      <sz val="12"/>
      <color rgb="FFC8A97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1B2C"/>
        <bgColor rgb="FF152438"/>
      </patternFill>
    </fill>
    <fill>
      <patternFill patternType="solid">
        <fgColor rgb="FF152438"/>
        <bgColor rgb="FF0E1B2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C2F45"/>
      </left>
      <right/>
      <top style="thin">
        <color rgb="FF1C2F45"/>
      </top>
      <bottom style="thin">
        <color rgb="FF1C2F45"/>
      </bottom>
      <diagonal/>
    </border>
    <border diagonalUp="false" diagonalDown="false">
      <left style="thin">
        <color rgb="FF1C2F45"/>
      </left>
      <right style="thin">
        <color rgb="FF1C2F45"/>
      </right>
      <top style="thin">
        <color rgb="FF1C2F45"/>
      </top>
      <bottom style="thin">
        <color rgb="FF1C2F4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B6AA"/>
      <rgbColor rgb="FF808080"/>
      <rgbColor rgb="FF9999FF"/>
      <rgbColor rgb="FF993366"/>
      <rgbColor rgb="FFF2EDD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A97E"/>
      <rgbColor rgb="FF152438"/>
      <rgbColor rgb="FF2E7D32"/>
      <rgbColor rgb="FF0E1B2C"/>
      <rgbColor rgb="FF333300"/>
      <rgbColor rgb="FFC62828"/>
      <rgbColor rgb="FF993366"/>
      <rgbColor rgb="FF333399"/>
      <rgbColor rgb="FF1C2F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5" min="3" style="0" width="16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10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3.5" hidden="false" customHeight="true" outlineLevel="0" collapsed="false"/>
    <row r="5" customFormat="false" ht="19.5" hidden="false" customHeight="true" outlineLevel="0" collapsed="false">
      <c r="A5" s="3" t="s">
        <v>2</v>
      </c>
      <c r="B5" s="3"/>
      <c r="C5" s="3" t="s">
        <v>3</v>
      </c>
      <c r="D5" s="3"/>
      <c r="E5" s="3" t="s">
        <v>4</v>
      </c>
      <c r="F5" s="3"/>
    </row>
    <row r="6" customFormat="false" ht="49.5" hidden="false" customHeight="true" outlineLevel="0" collapsed="false">
      <c r="A6" s="4" t="n">
        <f aca="false">SUMIF(Lancamentos!D5:D24,"Entrada",Lancamentos!E5:E24)</f>
        <v>21694</v>
      </c>
      <c r="B6" s="4"/>
      <c r="C6" s="5" t="n">
        <f aca="false">SUMIF(Lancamentos!D5:D24,"Saida",Lancamentos!E5:E24)</f>
        <v>5630</v>
      </c>
      <c r="D6" s="5"/>
      <c r="E6" s="6" t="n">
        <f aca="false">SUMIF(Lancamentos!D5:D24,"Entrada",Lancamentos!E5:E24)-SUMIF(Lancamentos!D5:D24,"Saida",Lancamentos!E5:E24)</f>
        <v>16064</v>
      </c>
      <c r="F6" s="6"/>
    </row>
    <row r="7" customFormat="false" ht="15.75" hidden="false" customHeight="true" outlineLevel="0" collapsed="false"/>
    <row r="8" customFormat="false" ht="27.75" hidden="false" customHeight="true" outlineLevel="0" collapsed="false">
      <c r="A8" s="7" t="s">
        <v>5</v>
      </c>
      <c r="B8" s="7"/>
      <c r="C8" s="7"/>
      <c r="D8" s="7"/>
      <c r="E8" s="7"/>
      <c r="F8" s="7"/>
      <c r="G8" s="7"/>
      <c r="H8" s="7"/>
    </row>
    <row r="9" customFormat="false" ht="19.5" hidden="false" customHeight="true" outlineLevel="0" collapsed="false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/>
    </row>
    <row r="10" customFormat="false" ht="15.75" hidden="false" customHeight="true" outlineLevel="0" collapsed="false">
      <c r="A10" s="9" t="str">
        <f aca="false">Categorias!A5</f>
        <v>Atlas Logistica</v>
      </c>
      <c r="B10" s="10" t="str">
        <f aca="false">Categorias!B5</f>
        <v>Entrada</v>
      </c>
      <c r="C10" s="11" t="n">
        <f aca="false">Categorias!C5</f>
        <v>12000</v>
      </c>
      <c r="D10" s="11" t="n">
        <f aca="false">Categorias!D5</f>
        <v>0</v>
      </c>
      <c r="E10" s="11" t="n">
        <f aca="false">Categorias!E5</f>
        <v>12000</v>
      </c>
      <c r="F10" s="12" t="n">
        <f aca="false">IF(Categorias!C5=0,0,Categorias!D5/Categorias!C5)</f>
        <v>0</v>
      </c>
      <c r="G10" s="10" t="str">
        <f aca="false">Categorias!F5</f>
        <v>Sem lancamentos</v>
      </c>
      <c r="H10" s="13"/>
    </row>
    <row r="11" customFormat="false" ht="15.75" hidden="false" customHeight="true" outlineLevel="0" collapsed="false">
      <c r="A11" s="14" t="str">
        <f aca="false">Categorias!A6</f>
        <v>Primemobile</v>
      </c>
      <c r="B11" s="15" t="str">
        <f aca="false">Categorias!B6</f>
        <v>Entrada</v>
      </c>
      <c r="C11" s="16" t="n">
        <f aca="false">Categorias!C6</f>
        <v>3000</v>
      </c>
      <c r="D11" s="16" t="n">
        <f aca="false">Categorias!D6</f>
        <v>0</v>
      </c>
      <c r="E11" s="16" t="n">
        <f aca="false">Categorias!E6</f>
        <v>3000</v>
      </c>
      <c r="F11" s="17" t="n">
        <f aca="false">IF(Categorias!C6=0,0,Categorias!D6/Categorias!C6)</f>
        <v>0</v>
      </c>
      <c r="G11" s="15" t="str">
        <f aca="false">Categorias!F6</f>
        <v>Sem lancamentos</v>
      </c>
      <c r="H11" s="18"/>
    </row>
    <row r="12" customFormat="false" ht="15.75" hidden="false" customHeight="true" outlineLevel="0" collapsed="false">
      <c r="A12" s="9" t="str">
        <f aca="false">Categorias!A7</f>
        <v>Consultoria @vssp</v>
      </c>
      <c r="B12" s="10" t="str">
        <f aca="false">Categorias!B7</f>
        <v>Entrada</v>
      </c>
      <c r="C12" s="11" t="n">
        <f aca="false">Categorias!C7</f>
        <v>1988</v>
      </c>
      <c r="D12" s="11" t="n">
        <f aca="false">Categorias!D7</f>
        <v>0</v>
      </c>
      <c r="E12" s="11" t="n">
        <f aca="false">Categorias!E7</f>
        <v>1988</v>
      </c>
      <c r="F12" s="12" t="n">
        <f aca="false">IF(Categorias!C7=0,0,Categorias!D7/Categorias!C7)</f>
        <v>0</v>
      </c>
      <c r="G12" s="10" t="str">
        <f aca="false">Categorias!F7</f>
        <v>Sem lancamentos</v>
      </c>
      <c r="H12" s="13"/>
    </row>
    <row r="13" customFormat="false" ht="15.75" hidden="false" customHeight="true" outlineLevel="0" collapsed="false">
      <c r="A13" s="14" t="str">
        <f aca="false">Categorias!A8</f>
        <v>Grupo Villela</v>
      </c>
      <c r="B13" s="15" t="str">
        <f aca="false">Categorias!B8</f>
        <v>Entrada</v>
      </c>
      <c r="C13" s="16" t="n">
        <f aca="false">Categorias!C8</f>
        <v>3000</v>
      </c>
      <c r="D13" s="16" t="n">
        <f aca="false">Categorias!D8</f>
        <v>0</v>
      </c>
      <c r="E13" s="16" t="n">
        <f aca="false">Categorias!E8</f>
        <v>3000</v>
      </c>
      <c r="F13" s="17" t="n">
        <f aca="false">IF(Categorias!C8=0,0,Categorias!D8/Categorias!C8)</f>
        <v>0</v>
      </c>
      <c r="G13" s="15" t="str">
        <f aca="false">Categorias!F8</f>
        <v>Sem lancamentos</v>
      </c>
      <c r="H13" s="18"/>
    </row>
    <row r="14" customFormat="false" ht="15.75" hidden="false" customHeight="true" outlineLevel="0" collapsed="false">
      <c r="A14" s="9" t="str">
        <f aca="false">Categorias!A9</f>
        <v>Outros Entradas</v>
      </c>
      <c r="B14" s="10" t="str">
        <f aca="false">Categorias!B9</f>
        <v>Entrada</v>
      </c>
      <c r="C14" s="11" t="n">
        <f aca="false">Categorias!C9</f>
        <v>500</v>
      </c>
      <c r="D14" s="11" t="n">
        <f aca="false">Categorias!D9</f>
        <v>0</v>
      </c>
      <c r="E14" s="11" t="n">
        <f aca="false">Categorias!E9</f>
        <v>500</v>
      </c>
      <c r="F14" s="12" t="n">
        <f aca="false">IF(Categorias!C9=0,0,Categorias!D9/Categorias!C9)</f>
        <v>0</v>
      </c>
      <c r="G14" s="10" t="str">
        <f aca="false">Categorias!F9</f>
        <v>Sem lancamentos</v>
      </c>
      <c r="H14" s="13"/>
    </row>
    <row r="15" customFormat="false" ht="15.75" hidden="false" customHeight="true" outlineLevel="0" collapsed="false">
      <c r="A15" s="14" t="str">
        <f aca="false">Categorias!A10</f>
        <v>Moradia</v>
      </c>
      <c r="B15" s="15" t="str">
        <f aca="false">Categorias!B10</f>
        <v>Saida</v>
      </c>
      <c r="C15" s="16" t="n">
        <f aca="false">Categorias!C10</f>
        <v>2100</v>
      </c>
      <c r="D15" s="16" t="n">
        <f aca="false">Categorias!D10</f>
        <v>1980</v>
      </c>
      <c r="E15" s="16" t="n">
        <f aca="false">Categorias!E10</f>
        <v>120</v>
      </c>
      <c r="F15" s="17" t="n">
        <f aca="false">IF(Categorias!C10=0,0,Categorias!D10/Categorias!C10)</f>
        <v>0.942857142857143</v>
      </c>
      <c r="G15" s="15" t="str">
        <f aca="false">Categorias!F10</f>
        <v>Dentro do orcamento</v>
      </c>
      <c r="H15" s="18"/>
    </row>
    <row r="16" customFormat="false" ht="15.75" hidden="false" customHeight="true" outlineLevel="0" collapsed="false">
      <c r="A16" s="9" t="str">
        <f aca="false">Categorias!A11</f>
        <v>Alimentacao</v>
      </c>
      <c r="B16" s="10" t="str">
        <f aca="false">Categorias!B11</f>
        <v>Saida</v>
      </c>
      <c r="C16" s="11" t="n">
        <f aca="false">Categorias!C11</f>
        <v>800</v>
      </c>
      <c r="D16" s="11" t="n">
        <f aca="false">Categorias!D11</f>
        <v>755</v>
      </c>
      <c r="E16" s="11" t="n">
        <f aca="false">Categorias!E11</f>
        <v>45</v>
      </c>
      <c r="F16" s="12" t="n">
        <f aca="false">IF(Categorias!C11=0,0,Categorias!D11/Categorias!C11)</f>
        <v>0.94375</v>
      </c>
      <c r="G16" s="10" t="str">
        <f aca="false">Categorias!F11</f>
        <v>Dentro do orcamento</v>
      </c>
      <c r="H16" s="13"/>
    </row>
    <row r="17" customFormat="false" ht="15.75" hidden="false" customHeight="true" outlineLevel="0" collapsed="false">
      <c r="A17" s="14" t="str">
        <f aca="false">Categorias!A12</f>
        <v>Transporte</v>
      </c>
      <c r="B17" s="15" t="str">
        <f aca="false">Categorias!B12</f>
        <v>Saida</v>
      </c>
      <c r="C17" s="16" t="n">
        <f aca="false">Categorias!C12</f>
        <v>500</v>
      </c>
      <c r="D17" s="16" t="n">
        <f aca="false">Categorias!D12</f>
        <v>400</v>
      </c>
      <c r="E17" s="16" t="n">
        <f aca="false">Categorias!E12</f>
        <v>100</v>
      </c>
      <c r="F17" s="17" t="n">
        <f aca="false">IF(Categorias!C12=0,0,Categorias!D12/Categorias!C12)</f>
        <v>0.8</v>
      </c>
      <c r="G17" s="15" t="str">
        <f aca="false">Categorias!F12</f>
        <v>Dentro do orcamento</v>
      </c>
      <c r="H17" s="18"/>
    </row>
    <row r="18" customFormat="false" ht="15.75" hidden="false" customHeight="true" outlineLevel="0" collapsed="false">
      <c r="A18" s="9" t="str">
        <f aca="false">Categorias!A13</f>
        <v>Saude</v>
      </c>
      <c r="B18" s="10" t="str">
        <f aca="false">Categorias!B13</f>
        <v>Saida</v>
      </c>
      <c r="C18" s="11" t="n">
        <f aca="false">Categorias!C13</f>
        <v>650</v>
      </c>
      <c r="D18" s="11" t="n">
        <f aca="false">Categorias!D13</f>
        <v>600</v>
      </c>
      <c r="E18" s="11" t="n">
        <f aca="false">Categorias!E13</f>
        <v>50</v>
      </c>
      <c r="F18" s="12" t="n">
        <f aca="false">IF(Categorias!C13=0,0,Categorias!D13/Categorias!C13)</f>
        <v>0.923076923076923</v>
      </c>
      <c r="G18" s="10" t="str">
        <f aca="false">Categorias!F13</f>
        <v>Dentro do orcamento</v>
      </c>
      <c r="H18" s="13"/>
    </row>
    <row r="19" customFormat="false" ht="15.75" hidden="false" customHeight="true" outlineLevel="0" collapsed="false">
      <c r="A19" s="14" t="str">
        <f aca="false">Categorias!A14</f>
        <v>Educacao</v>
      </c>
      <c r="B19" s="15" t="str">
        <f aca="false">Categorias!B14</f>
        <v>Saida</v>
      </c>
      <c r="C19" s="16" t="n">
        <f aca="false">Categorias!C14</f>
        <v>300</v>
      </c>
      <c r="D19" s="16" t="n">
        <f aca="false">Categorias!D14</f>
        <v>120</v>
      </c>
      <c r="E19" s="16" t="n">
        <f aca="false">Categorias!E14</f>
        <v>180</v>
      </c>
      <c r="F19" s="17" t="n">
        <f aca="false">IF(Categorias!C14=0,0,Categorias!D14/Categorias!C14)</f>
        <v>0.4</v>
      </c>
      <c r="G19" s="15" t="str">
        <f aca="false">Categorias!F14</f>
        <v>Dentro do orcamento</v>
      </c>
      <c r="H19" s="18"/>
    </row>
    <row r="20" customFormat="false" ht="15.75" hidden="false" customHeight="true" outlineLevel="0" collapsed="false">
      <c r="A20" s="9" t="str">
        <f aca="false">Categorias!A15</f>
        <v>Lazer</v>
      </c>
      <c r="B20" s="10" t="str">
        <f aca="false">Categorias!B15</f>
        <v>Saida</v>
      </c>
      <c r="C20" s="11" t="n">
        <f aca="false">Categorias!C15</f>
        <v>400</v>
      </c>
      <c r="D20" s="11" t="n">
        <f aca="false">Categorias!D15</f>
        <v>0</v>
      </c>
      <c r="E20" s="11" t="n">
        <f aca="false">Categorias!E15</f>
        <v>400</v>
      </c>
      <c r="F20" s="12" t="n">
        <f aca="false">IF(Categorias!C15=0,0,Categorias!D15/Categorias!C15)</f>
        <v>0</v>
      </c>
      <c r="G20" s="10" t="str">
        <f aca="false">Categorias!F15</f>
        <v>Sem lancamentos</v>
      </c>
      <c r="H20" s="13"/>
    </row>
    <row r="21" customFormat="false" ht="15.75" hidden="false" customHeight="true" outlineLevel="0" collapsed="false">
      <c r="A21" s="14" t="str">
        <f aca="false">Categorias!A16</f>
        <v>Negocios</v>
      </c>
      <c r="B21" s="15" t="str">
        <f aca="false">Categorias!B16</f>
        <v>Saida</v>
      </c>
      <c r="C21" s="16" t="n">
        <f aca="false">Categorias!C16</f>
        <v>1000</v>
      </c>
      <c r="D21" s="16" t="n">
        <f aca="false">Categorias!D16</f>
        <v>775</v>
      </c>
      <c r="E21" s="16" t="n">
        <f aca="false">Categorias!E16</f>
        <v>225</v>
      </c>
      <c r="F21" s="17" t="n">
        <f aca="false">IF(Categorias!C16=0,0,Categorias!D16/Categorias!C16)</f>
        <v>0.775</v>
      </c>
      <c r="G21" s="15" t="str">
        <f aca="false">Categorias!F16</f>
        <v>Dentro do orcamento</v>
      </c>
      <c r="H21" s="18"/>
    </row>
    <row r="22" customFormat="false" ht="15.75" hidden="false" customHeight="true" outlineLevel="0" collapsed="false">
      <c r="A22" s="9" t="str">
        <f aca="false">Categorias!A17</f>
        <v>Investimento</v>
      </c>
      <c r="B22" s="10" t="str">
        <f aca="false">Categorias!B17</f>
        <v>Saida</v>
      </c>
      <c r="C22" s="11" t="n">
        <f aca="false">Categorias!C17</f>
        <v>2000</v>
      </c>
      <c r="D22" s="11" t="n">
        <f aca="false">Categorias!D17</f>
        <v>1000</v>
      </c>
      <c r="E22" s="11" t="n">
        <f aca="false">Categorias!E17</f>
        <v>1000</v>
      </c>
      <c r="F22" s="12" t="n">
        <f aca="false">IF(Categorias!C17=0,0,Categorias!D17/Categorias!C17)</f>
        <v>0.5</v>
      </c>
      <c r="G22" s="10" t="str">
        <f aca="false">Categorias!F17</f>
        <v>Dentro do orcamento</v>
      </c>
      <c r="H22" s="13"/>
    </row>
    <row r="23" customFormat="false" ht="15.75" hidden="false" customHeight="true" outlineLevel="0" collapsed="false">
      <c r="A23" s="14" t="str">
        <f aca="false">Categorias!A18</f>
        <v>Pessoal</v>
      </c>
      <c r="B23" s="15" t="str">
        <f aca="false">Categorias!B18</f>
        <v>Saida</v>
      </c>
      <c r="C23" s="16" t="n">
        <f aca="false">Categorias!C18</f>
        <v>300</v>
      </c>
      <c r="D23" s="16" t="n">
        <f aca="false">Categorias!D18</f>
        <v>0</v>
      </c>
      <c r="E23" s="16" t="n">
        <f aca="false">Categorias!E18</f>
        <v>300</v>
      </c>
      <c r="F23" s="17" t="n">
        <f aca="false">IF(Categorias!C18=0,0,Categorias!D18/Categorias!C18)</f>
        <v>0</v>
      </c>
      <c r="G23" s="15" t="str">
        <f aca="false">Categorias!F18</f>
        <v>Sem lancamentos</v>
      </c>
      <c r="H23" s="18"/>
    </row>
    <row r="24" customFormat="false" ht="15.75" hidden="false" customHeight="true" outlineLevel="0" collapsed="false">
      <c r="A24" s="9" t="str">
        <f aca="false">Categorias!A19</f>
        <v>Outros Saidas</v>
      </c>
      <c r="B24" s="10" t="str">
        <f aca="false">Categorias!B19</f>
        <v>Saida</v>
      </c>
      <c r="C24" s="11" t="n">
        <f aca="false">Categorias!C19</f>
        <v>200</v>
      </c>
      <c r="D24" s="11" t="n">
        <f aca="false">Categorias!D19</f>
        <v>0</v>
      </c>
      <c r="E24" s="11" t="n">
        <f aca="false">Categorias!E19</f>
        <v>200</v>
      </c>
      <c r="F24" s="12" t="n">
        <f aca="false">IF(Categorias!C19=0,0,Categorias!D19/Categorias!C19)</f>
        <v>0</v>
      </c>
      <c r="G24" s="10" t="str">
        <f aca="false">Categorias!F19</f>
        <v>Sem lancamentos</v>
      </c>
      <c r="H24" s="13"/>
    </row>
    <row r="26" customFormat="false" ht="19.5" hidden="false" customHeight="true" outlineLevel="0" collapsed="false">
      <c r="A26" s="19" t="s">
        <v>13</v>
      </c>
      <c r="B26" s="19"/>
      <c r="C26" s="19"/>
      <c r="D26" s="19"/>
      <c r="E26" s="19"/>
      <c r="F26" s="19"/>
      <c r="G26" s="19"/>
      <c r="H26" s="19"/>
    </row>
  </sheetData>
  <mergeCells count="10">
    <mergeCell ref="A1:H2"/>
    <mergeCell ref="A3:H3"/>
    <mergeCell ref="A5:B5"/>
    <mergeCell ref="C5:D5"/>
    <mergeCell ref="E5:F5"/>
    <mergeCell ref="A6:B6"/>
    <mergeCell ref="C6:D6"/>
    <mergeCell ref="E6:F6"/>
    <mergeCell ref="A8:H8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14"/>
  </cols>
  <sheetData>
    <row r="1" customFormat="false" ht="30" hidden="false" customHeight="true" outlineLevel="0" collapsed="false">
      <c r="A1" s="20" t="s">
        <v>14</v>
      </c>
      <c r="B1" s="20"/>
      <c r="C1" s="20"/>
      <c r="D1" s="20"/>
      <c r="E1" s="20"/>
      <c r="F1" s="20"/>
      <c r="G1" s="20"/>
      <c r="H1" s="20"/>
    </row>
    <row r="2" customFormat="false" ht="18" hidden="false" customHeight="true" outlineLevel="0" collapsed="false">
      <c r="A2" s="2" t="s">
        <v>15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1.75" hidden="false" customHeight="true" outlineLevel="0" collapsed="false">
      <c r="A4" s="21" t="s">
        <v>16</v>
      </c>
      <c r="B4" s="21" t="s">
        <v>17</v>
      </c>
      <c r="C4" s="21" t="s">
        <v>6</v>
      </c>
      <c r="D4" s="21" t="s">
        <v>7</v>
      </c>
      <c r="E4" s="21" t="s">
        <v>18</v>
      </c>
      <c r="F4" s="21" t="s">
        <v>19</v>
      </c>
      <c r="G4" s="21" t="s">
        <v>20</v>
      </c>
      <c r="H4" s="21" t="s">
        <v>12</v>
      </c>
    </row>
    <row r="5" customFormat="false" ht="18" hidden="false" customHeight="true" outlineLevel="0" collapsed="false">
      <c r="A5" s="22" t="s">
        <v>21</v>
      </c>
      <c r="B5" s="23" t="s">
        <v>22</v>
      </c>
      <c r="C5" s="22" t="s">
        <v>23</v>
      </c>
      <c r="D5" s="24" t="s">
        <v>24</v>
      </c>
      <c r="E5" s="25" t="n">
        <v>12000</v>
      </c>
      <c r="F5" s="26" t="s">
        <v>25</v>
      </c>
      <c r="G5" s="23"/>
      <c r="H5" s="26" t="s">
        <v>26</v>
      </c>
    </row>
    <row r="6" customFormat="false" ht="18" hidden="false" customHeight="true" outlineLevel="0" collapsed="false">
      <c r="A6" s="27" t="s">
        <v>21</v>
      </c>
      <c r="B6" s="28" t="s">
        <v>27</v>
      </c>
      <c r="C6" s="27" t="s">
        <v>28</v>
      </c>
      <c r="D6" s="29" t="s">
        <v>29</v>
      </c>
      <c r="E6" s="30" t="n">
        <v>1800</v>
      </c>
      <c r="F6" s="31" t="s">
        <v>25</v>
      </c>
      <c r="G6" s="28"/>
      <c r="H6" s="31" t="s">
        <v>26</v>
      </c>
    </row>
    <row r="7" customFormat="false" ht="18" hidden="false" customHeight="true" outlineLevel="0" collapsed="false">
      <c r="A7" s="22" t="s">
        <v>30</v>
      </c>
      <c r="B7" s="23" t="s">
        <v>31</v>
      </c>
      <c r="C7" s="22" t="s">
        <v>32</v>
      </c>
      <c r="D7" s="32" t="s">
        <v>29</v>
      </c>
      <c r="E7" s="33" t="n">
        <v>380</v>
      </c>
      <c r="F7" s="26" t="s">
        <v>25</v>
      </c>
      <c r="G7" s="23"/>
      <c r="H7" s="26" t="s">
        <v>26</v>
      </c>
    </row>
    <row r="8" customFormat="false" ht="18" hidden="false" customHeight="true" outlineLevel="0" collapsed="false">
      <c r="A8" s="27" t="s">
        <v>33</v>
      </c>
      <c r="B8" s="28" t="s">
        <v>34</v>
      </c>
      <c r="C8" s="27" t="s">
        <v>35</v>
      </c>
      <c r="D8" s="34" t="s">
        <v>24</v>
      </c>
      <c r="E8" s="35" t="n">
        <v>3200</v>
      </c>
      <c r="F8" s="31" t="s">
        <v>25</v>
      </c>
      <c r="G8" s="28"/>
      <c r="H8" s="31" t="s">
        <v>26</v>
      </c>
    </row>
    <row r="9" customFormat="false" ht="18" hidden="false" customHeight="true" outlineLevel="0" collapsed="false">
      <c r="A9" s="22" t="s">
        <v>36</v>
      </c>
      <c r="B9" s="23" t="s">
        <v>37</v>
      </c>
      <c r="C9" s="22" t="s">
        <v>38</v>
      </c>
      <c r="D9" s="32" t="s">
        <v>29</v>
      </c>
      <c r="E9" s="33" t="n">
        <v>220</v>
      </c>
      <c r="F9" s="26" t="s">
        <v>25</v>
      </c>
      <c r="G9" s="23"/>
      <c r="H9" s="26" t="s">
        <v>26</v>
      </c>
    </row>
    <row r="10" customFormat="false" ht="18" hidden="false" customHeight="true" outlineLevel="0" collapsed="false">
      <c r="A10" s="27" t="s">
        <v>39</v>
      </c>
      <c r="B10" s="28" t="s">
        <v>40</v>
      </c>
      <c r="C10" s="27" t="s">
        <v>41</v>
      </c>
      <c r="D10" s="34" t="s">
        <v>24</v>
      </c>
      <c r="E10" s="35" t="n">
        <v>1500</v>
      </c>
      <c r="F10" s="31" t="s">
        <v>25</v>
      </c>
      <c r="G10" s="28"/>
      <c r="H10" s="31" t="s">
        <v>26</v>
      </c>
    </row>
    <row r="11" customFormat="false" ht="18" hidden="false" customHeight="true" outlineLevel="0" collapsed="false">
      <c r="A11" s="22" t="s">
        <v>42</v>
      </c>
      <c r="B11" s="23" t="s">
        <v>43</v>
      </c>
      <c r="C11" s="22" t="s">
        <v>44</v>
      </c>
      <c r="D11" s="32" t="s">
        <v>29</v>
      </c>
      <c r="E11" s="33" t="n">
        <v>450</v>
      </c>
      <c r="F11" s="26" t="s">
        <v>25</v>
      </c>
      <c r="G11" s="23"/>
      <c r="H11" s="26" t="s">
        <v>26</v>
      </c>
    </row>
    <row r="12" customFormat="false" ht="18" hidden="false" customHeight="true" outlineLevel="0" collapsed="false">
      <c r="A12" s="27" t="s">
        <v>45</v>
      </c>
      <c r="B12" s="28" t="s">
        <v>46</v>
      </c>
      <c r="C12" s="27" t="s">
        <v>32</v>
      </c>
      <c r="D12" s="29" t="s">
        <v>29</v>
      </c>
      <c r="E12" s="30" t="n">
        <v>85</v>
      </c>
      <c r="F12" s="31" t="s">
        <v>25</v>
      </c>
      <c r="G12" s="28"/>
      <c r="H12" s="31" t="s">
        <v>26</v>
      </c>
    </row>
    <row r="13" customFormat="false" ht="18" hidden="false" customHeight="true" outlineLevel="0" collapsed="false">
      <c r="A13" s="22" t="s">
        <v>47</v>
      </c>
      <c r="B13" s="23" t="s">
        <v>48</v>
      </c>
      <c r="C13" s="22" t="s">
        <v>44</v>
      </c>
      <c r="D13" s="32" t="s">
        <v>29</v>
      </c>
      <c r="E13" s="33" t="n">
        <v>150</v>
      </c>
      <c r="F13" s="26" t="s">
        <v>25</v>
      </c>
      <c r="G13" s="23"/>
      <c r="H13" s="26" t="s">
        <v>26</v>
      </c>
    </row>
    <row r="14" customFormat="false" ht="18" hidden="false" customHeight="true" outlineLevel="0" collapsed="false">
      <c r="A14" s="27" t="s">
        <v>49</v>
      </c>
      <c r="B14" s="28" t="s">
        <v>50</v>
      </c>
      <c r="C14" s="27" t="s">
        <v>23</v>
      </c>
      <c r="D14" s="34" t="s">
        <v>24</v>
      </c>
      <c r="E14" s="35" t="n">
        <v>497</v>
      </c>
      <c r="F14" s="31" t="s">
        <v>25</v>
      </c>
      <c r="G14" s="28"/>
      <c r="H14" s="31" t="s">
        <v>26</v>
      </c>
    </row>
    <row r="15" customFormat="false" ht="18" hidden="false" customHeight="true" outlineLevel="0" collapsed="false">
      <c r="A15" s="22" t="s">
        <v>51</v>
      </c>
      <c r="B15" s="23" t="s">
        <v>52</v>
      </c>
      <c r="C15" s="22" t="s">
        <v>53</v>
      </c>
      <c r="D15" s="32" t="s">
        <v>29</v>
      </c>
      <c r="E15" s="33" t="n">
        <v>680</v>
      </c>
      <c r="F15" s="26" t="s">
        <v>25</v>
      </c>
      <c r="G15" s="23"/>
      <c r="H15" s="26" t="s">
        <v>26</v>
      </c>
    </row>
    <row r="16" customFormat="false" ht="18" hidden="false" customHeight="true" outlineLevel="0" collapsed="false">
      <c r="A16" s="27" t="s">
        <v>54</v>
      </c>
      <c r="B16" s="28" t="s">
        <v>55</v>
      </c>
      <c r="C16" s="27" t="s">
        <v>23</v>
      </c>
      <c r="D16" s="34" t="s">
        <v>24</v>
      </c>
      <c r="E16" s="35" t="n">
        <v>497</v>
      </c>
      <c r="F16" s="31" t="s">
        <v>25</v>
      </c>
      <c r="G16" s="28"/>
      <c r="H16" s="31" t="s">
        <v>26</v>
      </c>
    </row>
    <row r="17" customFormat="false" ht="18" hidden="false" customHeight="true" outlineLevel="0" collapsed="false">
      <c r="A17" s="22" t="s">
        <v>56</v>
      </c>
      <c r="B17" s="23" t="s">
        <v>57</v>
      </c>
      <c r="C17" s="22" t="s">
        <v>28</v>
      </c>
      <c r="D17" s="32" t="s">
        <v>29</v>
      </c>
      <c r="E17" s="33" t="n">
        <v>180</v>
      </c>
      <c r="F17" s="26" t="s">
        <v>25</v>
      </c>
      <c r="G17" s="23"/>
      <c r="H17" s="26" t="s">
        <v>26</v>
      </c>
    </row>
    <row r="18" customFormat="false" ht="18" hidden="false" customHeight="true" outlineLevel="0" collapsed="false">
      <c r="A18" s="27" t="s">
        <v>58</v>
      </c>
      <c r="B18" s="28" t="s">
        <v>59</v>
      </c>
      <c r="C18" s="27" t="s">
        <v>60</v>
      </c>
      <c r="D18" s="29" t="s">
        <v>29</v>
      </c>
      <c r="E18" s="30" t="n">
        <v>120</v>
      </c>
      <c r="F18" s="31" t="s">
        <v>25</v>
      </c>
      <c r="G18" s="28"/>
      <c r="H18" s="31" t="s">
        <v>26</v>
      </c>
    </row>
    <row r="19" customFormat="false" ht="18" hidden="false" customHeight="true" outlineLevel="0" collapsed="false">
      <c r="A19" s="22" t="s">
        <v>61</v>
      </c>
      <c r="B19" s="23" t="s">
        <v>62</v>
      </c>
      <c r="C19" s="22" t="s">
        <v>63</v>
      </c>
      <c r="D19" s="32" t="s">
        <v>29</v>
      </c>
      <c r="E19" s="33" t="n">
        <v>1000</v>
      </c>
      <c r="F19" s="26" t="s">
        <v>25</v>
      </c>
      <c r="G19" s="23"/>
      <c r="H19" s="26" t="s">
        <v>26</v>
      </c>
    </row>
    <row r="20" customFormat="false" ht="18" hidden="false" customHeight="true" outlineLevel="0" collapsed="false">
      <c r="A20" s="27" t="s">
        <v>64</v>
      </c>
      <c r="B20" s="28" t="s">
        <v>40</v>
      </c>
      <c r="C20" s="27" t="s">
        <v>41</v>
      </c>
      <c r="D20" s="34" t="s">
        <v>24</v>
      </c>
      <c r="E20" s="35" t="n">
        <v>2200</v>
      </c>
      <c r="F20" s="31" t="s">
        <v>25</v>
      </c>
      <c r="G20" s="28"/>
      <c r="H20" s="31" t="s">
        <v>26</v>
      </c>
    </row>
    <row r="21" customFormat="false" ht="18" hidden="false" customHeight="true" outlineLevel="0" collapsed="false">
      <c r="A21" s="22" t="s">
        <v>65</v>
      </c>
      <c r="B21" s="23" t="s">
        <v>31</v>
      </c>
      <c r="C21" s="22" t="s">
        <v>32</v>
      </c>
      <c r="D21" s="32" t="s">
        <v>29</v>
      </c>
      <c r="E21" s="33" t="n">
        <v>290</v>
      </c>
      <c r="F21" s="26" t="s">
        <v>25</v>
      </c>
      <c r="G21" s="23"/>
      <c r="H21" s="26" t="s">
        <v>26</v>
      </c>
    </row>
    <row r="22" customFormat="false" ht="18" hidden="false" customHeight="true" outlineLevel="0" collapsed="false">
      <c r="A22" s="27" t="s">
        <v>66</v>
      </c>
      <c r="B22" s="28" t="s">
        <v>37</v>
      </c>
      <c r="C22" s="27" t="s">
        <v>38</v>
      </c>
      <c r="D22" s="29" t="s">
        <v>29</v>
      </c>
      <c r="E22" s="30" t="n">
        <v>180</v>
      </c>
      <c r="F22" s="31" t="s">
        <v>25</v>
      </c>
      <c r="G22" s="28"/>
      <c r="H22" s="31" t="s">
        <v>26</v>
      </c>
    </row>
    <row r="23" customFormat="false" ht="18" hidden="false" customHeight="true" outlineLevel="0" collapsed="false">
      <c r="A23" s="22" t="s">
        <v>67</v>
      </c>
      <c r="B23" s="23" t="s">
        <v>34</v>
      </c>
      <c r="C23" s="22" t="s">
        <v>35</v>
      </c>
      <c r="D23" s="24" t="s">
        <v>24</v>
      </c>
      <c r="E23" s="25" t="n">
        <v>1800</v>
      </c>
      <c r="F23" s="26" t="s">
        <v>25</v>
      </c>
      <c r="G23" s="23"/>
      <c r="H23" s="26" t="s">
        <v>26</v>
      </c>
    </row>
    <row r="24" customFormat="false" ht="18" hidden="false" customHeight="true" outlineLevel="0" collapsed="false">
      <c r="A24" s="27" t="s">
        <v>68</v>
      </c>
      <c r="B24" s="28" t="s">
        <v>69</v>
      </c>
      <c r="C24" s="27" t="s">
        <v>53</v>
      </c>
      <c r="D24" s="29" t="s">
        <v>29</v>
      </c>
      <c r="E24" s="30" t="n">
        <v>95</v>
      </c>
      <c r="F24" s="31" t="s">
        <v>25</v>
      </c>
      <c r="G24" s="28"/>
      <c r="H24" s="31" t="s">
        <v>26</v>
      </c>
    </row>
    <row r="26" customFormat="false" ht="24" hidden="false" customHeight="true" outlineLevel="0" collapsed="false">
      <c r="A26" s="36"/>
      <c r="B26" s="37" t="s">
        <v>70</v>
      </c>
      <c r="E26" s="38" t="n">
        <f aca="false">SUMIF(D5:D24,"Entrada",E5:E24)</f>
        <v>21694</v>
      </c>
    </row>
    <row r="27" customFormat="false" ht="24" hidden="false" customHeight="true" outlineLevel="0" collapsed="false">
      <c r="A27" s="36"/>
      <c r="B27" s="37" t="s">
        <v>71</v>
      </c>
      <c r="E27" s="39" t="n">
        <f aca="false">SUMIF(D5:D24,"Saida",E5:E24)</f>
        <v>5630</v>
      </c>
    </row>
    <row r="28" customFormat="false" ht="24" hidden="false" customHeight="true" outlineLevel="0" collapsed="false">
      <c r="A28" s="36"/>
      <c r="B28" s="37" t="s">
        <v>72</v>
      </c>
      <c r="E28" s="40" t="n">
        <f aca="false">E26-E27</f>
        <v>16064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5" min="3" style="0" width="18"/>
    <col collapsed="false" customWidth="true" hidden="false" outlineLevel="0" max="6" min="6" style="0" width="28"/>
  </cols>
  <sheetData>
    <row r="1" customFormat="false" ht="30" hidden="false" customHeight="true" outlineLevel="0" collapsed="false">
      <c r="A1" s="20" t="s">
        <v>73</v>
      </c>
      <c r="B1" s="20"/>
      <c r="C1" s="20"/>
      <c r="D1" s="20"/>
      <c r="E1" s="20"/>
      <c r="F1" s="20"/>
    </row>
    <row r="2" customFormat="false" ht="18" hidden="false" customHeight="true" outlineLevel="0" collapsed="false">
      <c r="A2" s="2" t="s">
        <v>74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1.75" hidden="false" customHeight="true" outlineLevel="0" collapsed="false">
      <c r="A4" s="21" t="s">
        <v>6</v>
      </c>
      <c r="B4" s="21" t="s">
        <v>7</v>
      </c>
      <c r="C4" s="21" t="s">
        <v>75</v>
      </c>
      <c r="D4" s="21" t="s">
        <v>76</v>
      </c>
      <c r="E4" s="21" t="s">
        <v>77</v>
      </c>
      <c r="F4" s="21" t="s">
        <v>12</v>
      </c>
    </row>
    <row r="5" customFormat="false" ht="18" hidden="false" customHeight="true" outlineLevel="0" collapsed="false">
      <c r="A5" s="41" t="s">
        <v>78</v>
      </c>
      <c r="B5" s="24" t="s">
        <v>24</v>
      </c>
      <c r="C5" s="42" t="n">
        <v>12000</v>
      </c>
      <c r="D5" s="42" t="n">
        <f aca="false">SUMIFS(Lancamentos!E5:E24,Lancamentos!C5:C24,A5,Lancamentos!D5:D24,B5)</f>
        <v>0</v>
      </c>
      <c r="E5" s="42" t="n">
        <f aca="false">C5-D5</f>
        <v>12000</v>
      </c>
      <c r="F5" s="15" t="str">
        <f aca="false">IF(D5=0,"Sem lancamentos",IF(D5&lt;=C5,"Dentro do orcamento","Acima do orcamento"))</f>
        <v>Sem lancamentos</v>
      </c>
    </row>
    <row r="6" customFormat="false" ht="18" hidden="false" customHeight="true" outlineLevel="0" collapsed="false">
      <c r="A6" s="43" t="s">
        <v>79</v>
      </c>
      <c r="B6" s="34" t="s">
        <v>24</v>
      </c>
      <c r="C6" s="44" t="n">
        <v>3000</v>
      </c>
      <c r="D6" s="44" t="n">
        <f aca="false">SUMIFS(Lancamentos!E5:E24,Lancamentos!C5:C24,A6,Lancamentos!D5:D24,B6)</f>
        <v>0</v>
      </c>
      <c r="E6" s="44" t="n">
        <f aca="false">C6-D6</f>
        <v>3000</v>
      </c>
      <c r="F6" s="10" t="str">
        <f aca="false">IF(D6=0,"Sem lancamentos",IF(D6&lt;=C6,"Dentro do orcamento","Acima do orcamento"))</f>
        <v>Sem lancamentos</v>
      </c>
    </row>
    <row r="7" customFormat="false" ht="18" hidden="false" customHeight="true" outlineLevel="0" collapsed="false">
      <c r="A7" s="41" t="s">
        <v>80</v>
      </c>
      <c r="B7" s="24" t="s">
        <v>24</v>
      </c>
      <c r="C7" s="42" t="n">
        <v>1988</v>
      </c>
      <c r="D7" s="42" t="n">
        <f aca="false">SUMIFS(Lancamentos!E5:E24,Lancamentos!C5:C24,A7,Lancamentos!D5:D24,B7)</f>
        <v>0</v>
      </c>
      <c r="E7" s="42" t="n">
        <f aca="false">C7-D7</f>
        <v>1988</v>
      </c>
      <c r="F7" s="15" t="str">
        <f aca="false">IF(D7=0,"Sem lancamentos",IF(D7&lt;=C7,"Dentro do orcamento","Acima do orcamento"))</f>
        <v>Sem lancamentos</v>
      </c>
    </row>
    <row r="8" customFormat="false" ht="18" hidden="false" customHeight="true" outlineLevel="0" collapsed="false">
      <c r="A8" s="43" t="s">
        <v>81</v>
      </c>
      <c r="B8" s="34" t="s">
        <v>24</v>
      </c>
      <c r="C8" s="44" t="n">
        <v>3000</v>
      </c>
      <c r="D8" s="44" t="n">
        <f aca="false">SUMIFS(Lancamentos!E5:E24,Lancamentos!C5:C24,A8,Lancamentos!D5:D24,B8)</f>
        <v>0</v>
      </c>
      <c r="E8" s="44" t="n">
        <f aca="false">C8-D8</f>
        <v>3000</v>
      </c>
      <c r="F8" s="10" t="str">
        <f aca="false">IF(D8=0,"Sem lancamentos",IF(D8&lt;=C8,"Dentro do orcamento","Acima do orcamento"))</f>
        <v>Sem lancamentos</v>
      </c>
    </row>
    <row r="9" customFormat="false" ht="18" hidden="false" customHeight="true" outlineLevel="0" collapsed="false">
      <c r="A9" s="41" t="s">
        <v>82</v>
      </c>
      <c r="B9" s="24" t="s">
        <v>24</v>
      </c>
      <c r="C9" s="42" t="n">
        <v>500</v>
      </c>
      <c r="D9" s="42" t="n">
        <f aca="false">SUMIFS(Lancamentos!E5:E24,Lancamentos!C5:C24,A9,Lancamentos!D5:D24,B9)</f>
        <v>0</v>
      </c>
      <c r="E9" s="42" t="n">
        <f aca="false">C9-D9</f>
        <v>500</v>
      </c>
      <c r="F9" s="15" t="str">
        <f aca="false">IF(D9=0,"Sem lancamentos",IF(D9&lt;=C9,"Dentro do orcamento","Acima do orcamento"))</f>
        <v>Sem lancamentos</v>
      </c>
    </row>
    <row r="10" customFormat="false" ht="18" hidden="false" customHeight="true" outlineLevel="0" collapsed="false">
      <c r="A10" s="43" t="s">
        <v>28</v>
      </c>
      <c r="B10" s="29" t="s">
        <v>29</v>
      </c>
      <c r="C10" s="44" t="n">
        <v>2100</v>
      </c>
      <c r="D10" s="44" t="n">
        <f aca="false">SUMIFS(Lancamentos!E5:E24,Lancamentos!C5:C24,A10,Lancamentos!D5:D24,B10)</f>
        <v>1980</v>
      </c>
      <c r="E10" s="44" t="n">
        <f aca="false">C10-D10</f>
        <v>120</v>
      </c>
      <c r="F10" s="10" t="str">
        <f aca="false">IF(D10=0,"Sem lancamentos",IF(D10&lt;=C10,"Dentro do orcamento","Acima do orcamento"))</f>
        <v>Dentro do orcamento</v>
      </c>
    </row>
    <row r="11" customFormat="false" ht="18" hidden="false" customHeight="true" outlineLevel="0" collapsed="false">
      <c r="A11" s="41" t="s">
        <v>32</v>
      </c>
      <c r="B11" s="32" t="s">
        <v>29</v>
      </c>
      <c r="C11" s="42" t="n">
        <v>800</v>
      </c>
      <c r="D11" s="42" t="n">
        <f aca="false">SUMIFS(Lancamentos!E5:E24,Lancamentos!C5:C24,A11,Lancamentos!D5:D24,B11)</f>
        <v>755</v>
      </c>
      <c r="E11" s="42" t="n">
        <f aca="false">C11-D11</f>
        <v>45</v>
      </c>
      <c r="F11" s="15" t="str">
        <f aca="false">IF(D11=0,"Sem lancamentos",IF(D11&lt;=C11,"Dentro do orcamento","Acima do orcamento"))</f>
        <v>Dentro do orcamento</v>
      </c>
    </row>
    <row r="12" customFormat="false" ht="18" hidden="false" customHeight="true" outlineLevel="0" collapsed="false">
      <c r="A12" s="43" t="s">
        <v>38</v>
      </c>
      <c r="B12" s="29" t="s">
        <v>29</v>
      </c>
      <c r="C12" s="44" t="n">
        <v>500</v>
      </c>
      <c r="D12" s="44" t="n">
        <f aca="false">SUMIFS(Lancamentos!E5:E24,Lancamentos!C5:C24,A12,Lancamentos!D5:D24,B12)</f>
        <v>400</v>
      </c>
      <c r="E12" s="44" t="n">
        <f aca="false">C12-D12</f>
        <v>100</v>
      </c>
      <c r="F12" s="10" t="str">
        <f aca="false">IF(D12=0,"Sem lancamentos",IF(D12&lt;=C12,"Dentro do orcamento","Acima do orcamento"))</f>
        <v>Dentro do orcamento</v>
      </c>
    </row>
    <row r="13" customFormat="false" ht="18" hidden="false" customHeight="true" outlineLevel="0" collapsed="false">
      <c r="A13" s="41" t="s">
        <v>44</v>
      </c>
      <c r="B13" s="32" t="s">
        <v>29</v>
      </c>
      <c r="C13" s="42" t="n">
        <v>650</v>
      </c>
      <c r="D13" s="42" t="n">
        <f aca="false">SUMIFS(Lancamentos!E5:E24,Lancamentos!C5:C24,A13,Lancamentos!D5:D24,B13)</f>
        <v>600</v>
      </c>
      <c r="E13" s="42" t="n">
        <f aca="false">C13-D13</f>
        <v>50</v>
      </c>
      <c r="F13" s="15" t="str">
        <f aca="false">IF(D13=0,"Sem lancamentos",IF(D13&lt;=C13,"Dentro do orcamento","Acima do orcamento"))</f>
        <v>Dentro do orcamento</v>
      </c>
    </row>
    <row r="14" customFormat="false" ht="18" hidden="false" customHeight="true" outlineLevel="0" collapsed="false">
      <c r="A14" s="43" t="s">
        <v>60</v>
      </c>
      <c r="B14" s="29" t="s">
        <v>29</v>
      </c>
      <c r="C14" s="44" t="n">
        <v>300</v>
      </c>
      <c r="D14" s="44" t="n">
        <f aca="false">SUMIFS(Lancamentos!E5:E24,Lancamentos!C5:C24,A14,Lancamentos!D5:D24,B14)</f>
        <v>120</v>
      </c>
      <c r="E14" s="44" t="n">
        <f aca="false">C14-D14</f>
        <v>180</v>
      </c>
      <c r="F14" s="10" t="str">
        <f aca="false">IF(D14=0,"Sem lancamentos",IF(D14&lt;=C14,"Dentro do orcamento","Acima do orcamento"))</f>
        <v>Dentro do orcamento</v>
      </c>
    </row>
    <row r="15" customFormat="false" ht="18" hidden="false" customHeight="true" outlineLevel="0" collapsed="false">
      <c r="A15" s="41" t="s">
        <v>83</v>
      </c>
      <c r="B15" s="32" t="s">
        <v>29</v>
      </c>
      <c r="C15" s="42" t="n">
        <v>400</v>
      </c>
      <c r="D15" s="42" t="n">
        <f aca="false">SUMIFS(Lancamentos!E5:E24,Lancamentos!C5:C24,A15,Lancamentos!D5:D24,B15)</f>
        <v>0</v>
      </c>
      <c r="E15" s="42" t="n">
        <f aca="false">C15-D15</f>
        <v>400</v>
      </c>
      <c r="F15" s="15" t="str">
        <f aca="false">IF(D15=0,"Sem lancamentos",IF(D15&lt;=C15,"Dentro do orcamento","Acima do orcamento"))</f>
        <v>Sem lancamentos</v>
      </c>
    </row>
    <row r="16" customFormat="false" ht="18" hidden="false" customHeight="true" outlineLevel="0" collapsed="false">
      <c r="A16" s="43" t="s">
        <v>53</v>
      </c>
      <c r="B16" s="29" t="s">
        <v>29</v>
      </c>
      <c r="C16" s="44" t="n">
        <v>1000</v>
      </c>
      <c r="D16" s="44" t="n">
        <f aca="false">SUMIFS(Lancamentos!E5:E24,Lancamentos!C5:C24,A16,Lancamentos!D5:D24,B16)</f>
        <v>775</v>
      </c>
      <c r="E16" s="44" t="n">
        <f aca="false">C16-D16</f>
        <v>225</v>
      </c>
      <c r="F16" s="10" t="str">
        <f aca="false">IF(D16=0,"Sem lancamentos",IF(D16&lt;=C16,"Dentro do orcamento","Acima do orcamento"))</f>
        <v>Dentro do orcamento</v>
      </c>
    </row>
    <row r="17" customFormat="false" ht="18" hidden="false" customHeight="true" outlineLevel="0" collapsed="false">
      <c r="A17" s="41" t="s">
        <v>63</v>
      </c>
      <c r="B17" s="32" t="s">
        <v>29</v>
      </c>
      <c r="C17" s="42" t="n">
        <v>2000</v>
      </c>
      <c r="D17" s="42" t="n">
        <f aca="false">SUMIFS(Lancamentos!E5:E24,Lancamentos!C5:C24,A17,Lancamentos!D5:D24,B17)</f>
        <v>1000</v>
      </c>
      <c r="E17" s="42" t="n">
        <f aca="false">C17-D17</f>
        <v>1000</v>
      </c>
      <c r="F17" s="15" t="str">
        <f aca="false">IF(D17=0,"Sem lancamentos",IF(D17&lt;=C17,"Dentro do orcamento","Acima do orcamento"))</f>
        <v>Dentro do orcamento</v>
      </c>
    </row>
    <row r="18" customFormat="false" ht="18" hidden="false" customHeight="true" outlineLevel="0" collapsed="false">
      <c r="A18" s="43" t="s">
        <v>84</v>
      </c>
      <c r="B18" s="29" t="s">
        <v>29</v>
      </c>
      <c r="C18" s="44" t="n">
        <v>300</v>
      </c>
      <c r="D18" s="44" t="n">
        <f aca="false">SUMIFS(Lancamentos!E5:E24,Lancamentos!C5:C24,A18,Lancamentos!D5:D24,B18)</f>
        <v>0</v>
      </c>
      <c r="E18" s="44" t="n">
        <f aca="false">C18-D18</f>
        <v>300</v>
      </c>
      <c r="F18" s="10" t="str">
        <f aca="false">IF(D18=0,"Sem lancamentos",IF(D18&lt;=C18,"Dentro do orcamento","Acima do orcamento"))</f>
        <v>Sem lancamentos</v>
      </c>
    </row>
    <row r="19" customFormat="false" ht="18" hidden="false" customHeight="true" outlineLevel="0" collapsed="false">
      <c r="A19" s="41" t="s">
        <v>85</v>
      </c>
      <c r="B19" s="32" t="s">
        <v>29</v>
      </c>
      <c r="C19" s="42" t="n">
        <v>200</v>
      </c>
      <c r="D19" s="42" t="n">
        <f aca="false">SUMIFS(Lancamentos!E5:E24,Lancamentos!C5:C24,A19,Lancamentos!D5:D24,B19)</f>
        <v>0</v>
      </c>
      <c r="E19" s="42" t="n">
        <f aca="false">C19-D19</f>
        <v>200</v>
      </c>
      <c r="F19" s="15" t="str">
        <f aca="false">IF(D19=0,"Sem lancamentos",IF(D19&lt;=C19,"Dentro do orcamento","Acima do orcamento"))</f>
        <v>Sem lancamentos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2026-04-23T01:24:20Z</dcterms:created>
  <dc:creator>openpyxl</dc:creator>
  <dc:description/>
  <dc:language>en-US</dc:language>
  <cp:lastModifiedBy/>
  <dcterms:modified xsi:type="dcterms:W3CDTF">2026-04-23T01:24:20Z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